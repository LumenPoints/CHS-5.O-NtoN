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S 5.0 Budget" sheetId="1" state="visible" r:id="rId1"/>
    <sheet xmlns:r="http://schemas.openxmlformats.org/officeDocument/2006/relationships" name="Payment Tracker" sheetId="2" state="visible" r:id="rId2"/>
    <sheet xmlns:r="http://schemas.openxmlformats.org/officeDocument/2006/relationships" name="Reimbursemen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\$#,##0;&quot;($&quot;#,##0\);\-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5"/>
    </font>
    <font>
      <name val="Arial"/>
      <charset val="1"/>
      <family val="2"/>
      <i val="1"/>
      <color rgb="FFAAAAAA"/>
      <sz val="10"/>
    </font>
    <font>
      <name val="Arial"/>
      <charset val="1"/>
      <family val="2"/>
      <color rgb="FFFFFFFF"/>
      <sz val="9"/>
    </font>
    <font>
      <name val="Arial"/>
      <charset val="1"/>
      <family val="2"/>
      <color rgb="FF633806"/>
      <sz val="9"/>
    </font>
    <font>
      <name val="Arial"/>
      <charset val="1"/>
      <family val="2"/>
      <color rgb="FF0C447C"/>
      <sz val="9"/>
    </font>
    <font>
      <name val="Arial"/>
      <charset val="1"/>
      <family val="2"/>
      <color rgb="FF1A6B5A"/>
      <sz val="9"/>
    </font>
    <font>
      <name val="Arial"/>
      <charset val="1"/>
      <family val="2"/>
      <b val="1"/>
      <color rgb="FFFFFFFF"/>
      <sz val="14"/>
    </font>
    <font>
      <name val="Arial"/>
      <charset val="1"/>
      <family val="2"/>
      <b val="1"/>
      <color rgb="FF633806"/>
      <sz val="14"/>
    </font>
    <font>
      <name val="Arial"/>
      <charset val="1"/>
      <family val="2"/>
      <b val="1"/>
      <color rgb="FF0C447C"/>
      <sz val="14"/>
    </font>
    <font>
      <name val="Arial"/>
      <charset val="1"/>
      <family val="2"/>
      <b val="1"/>
      <color rgb="FF1A6B5A"/>
      <sz val="14"/>
    </font>
    <font>
      <name val="Arial"/>
      <charset val="1"/>
      <family val="2"/>
      <b val="1"/>
      <color rgb="FFFFFFFF"/>
      <sz val="9"/>
    </font>
    <font>
      <name val="Arial"/>
      <charset val="1"/>
      <family val="2"/>
      <color rgb="FF000000"/>
      <sz val="10"/>
    </font>
    <font>
      <name val="Arial"/>
      <charset val="1"/>
      <family val="2"/>
      <i val="1"/>
      <color rgb="FF666666"/>
      <sz val="9"/>
    </font>
    <font>
      <name val="Arial"/>
      <charset val="1"/>
      <family val="2"/>
      <b val="1"/>
      <color rgb="FF27500A"/>
      <sz val="9"/>
    </font>
    <font>
      <name val="Arial"/>
      <charset val="1"/>
      <family val="2"/>
      <b val="1"/>
      <color rgb="FF633806"/>
      <sz val="9"/>
    </font>
    <font>
      <name val="Arial"/>
      <charset val="1"/>
      <family val="2"/>
      <color rgb="FF0000FF"/>
      <sz val="10"/>
    </font>
    <font>
      <name val="Arial"/>
      <charset val="1"/>
      <family val="2"/>
      <b val="1"/>
      <color rgb="FF3C3489"/>
      <sz val="9"/>
    </font>
    <font>
      <name val="Arial"/>
      <charset val="1"/>
      <family val="2"/>
      <b val="1"/>
      <color rgb="FF444441"/>
      <sz val="9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rgb="FF993C1D"/>
      <sz val="9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633806"/>
      <sz val="11"/>
    </font>
    <font>
      <name val="Arial"/>
      <charset val="1"/>
      <family val="2"/>
      <b val="1"/>
      <color rgb="FF0C447C"/>
      <sz val="11"/>
    </font>
    <font>
      <name val="Arial"/>
      <charset val="1"/>
      <family val="2"/>
      <b val="1"/>
      <color rgb="FF1A6B5A"/>
      <sz val="12"/>
    </font>
    <font>
      <name val="Arial"/>
      <charset val="1"/>
      <family val="2"/>
      <b val="1"/>
      <color rgb="FF0C447C"/>
      <sz val="9"/>
    </font>
    <font>
      <name val="Arial"/>
      <charset val="1"/>
      <family val="2"/>
      <color rgb="FF993C1D"/>
      <sz val="9"/>
    </font>
    <font>
      <name val="Arial"/>
      <charset val="1"/>
      <family val="2"/>
      <color rgb="FF3C3489"/>
      <sz val="9"/>
    </font>
    <font>
      <name val="Arial"/>
      <charset val="1"/>
      <family val="2"/>
      <color rgb="FF444441"/>
      <sz val="9"/>
    </font>
    <font>
      <name val="Arial"/>
      <charset val="1"/>
      <family val="2"/>
      <sz val="10"/>
    </font>
    <font>
      <name val="Arial"/>
      <charset val="1"/>
      <family val="2"/>
      <color rgb="FF27500A"/>
      <sz val="10"/>
    </font>
    <font>
      <name val="Arial"/>
      <charset val="1"/>
      <family val="2"/>
      <color rgb="FF666666"/>
      <sz val="9"/>
    </font>
    <font>
      <name val="Arial"/>
      <charset val="1"/>
      <family val="2"/>
      <color rgb="FF993C1D"/>
      <sz val="10"/>
    </font>
  </fonts>
  <fills count="14">
    <fill>
      <patternFill/>
    </fill>
    <fill>
      <patternFill patternType="gray125"/>
    </fill>
    <fill>
      <patternFill patternType="solid">
        <fgColor rgb="FF1A6B5A"/>
        <bgColor rgb="FF008080"/>
      </patternFill>
    </fill>
    <fill>
      <patternFill patternType="solid">
        <fgColor rgb="FF1E1E1E"/>
        <bgColor rgb="FF000000"/>
      </patternFill>
    </fill>
    <fill>
      <patternFill patternType="solid">
        <fgColor rgb="FF2D9B7F"/>
        <bgColor rgb="FF008080"/>
      </patternFill>
    </fill>
    <fill>
      <patternFill patternType="solid">
        <fgColor rgb="FFFAEEDA"/>
        <bgColor rgb="FFFAECE7"/>
      </patternFill>
    </fill>
    <fill>
      <patternFill patternType="solid">
        <fgColor rgb="FFE6F1FB"/>
        <bgColor rgb="FFEEEDFE"/>
      </patternFill>
    </fill>
    <fill>
      <patternFill patternType="solid">
        <fgColor rgb="FFE1F5EE"/>
        <bgColor rgb="FFE6F1FB"/>
      </patternFill>
    </fill>
    <fill>
      <patternFill patternType="solid">
        <fgColor rgb="FF444441"/>
        <bgColor rgb="FF27500A"/>
      </patternFill>
    </fill>
    <fill>
      <patternFill patternType="solid">
        <fgColor rgb="FFFFFFFF"/>
        <bgColor rgb="FFF5F5F5"/>
      </patternFill>
    </fill>
    <fill>
      <patternFill patternType="solid">
        <fgColor rgb="FFEEEDFE"/>
        <bgColor rgb="FFE6F1FB"/>
      </patternFill>
    </fill>
    <fill>
      <patternFill patternType="solid">
        <fgColor rgb="FFF5F5F5"/>
        <bgColor rgb="FFEEEDFE"/>
      </patternFill>
    </fill>
    <fill>
      <patternFill patternType="solid">
        <fgColor rgb="FFFAECE7"/>
        <bgColor rgb="FFFAEEDA"/>
      </patternFill>
    </fill>
    <fill>
      <patternFill patternType="solid">
        <fgColor rgb="FF0C447C"/>
        <bgColor rgb="FF3C348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horizontal="center" vertical="center"/>
    </xf>
    <xf numFmtId="164" fontId="10" fillId="4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164" fontId="12" fillId="6" borderId="0" applyAlignment="1" pivotButton="0" quotePrefix="0" xfId="0">
      <alignment horizontal="center" vertical="center"/>
    </xf>
    <xf numFmtId="164" fontId="13" fillId="7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15" fillId="9" borderId="0" applyAlignment="1" pivotButton="0" quotePrefix="0" xfId="0">
      <alignment horizontal="left" vertical="center" indent="1"/>
    </xf>
    <xf numFmtId="0" fontId="16" fillId="9" borderId="0" applyAlignment="1" pivotButton="0" quotePrefix="0" xfId="0">
      <alignment horizontal="left" vertical="center"/>
    </xf>
    <xf numFmtId="165" fontId="15" fillId="9" borderId="0" applyAlignment="1" pivotButton="0" quotePrefix="0" xfId="0">
      <alignment horizontal="right" vertical="center"/>
    </xf>
    <xf numFmtId="0" fontId="17" fillId="9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left" vertical="center" indent="1"/>
    </xf>
    <xf numFmtId="0" fontId="16" fillId="5" borderId="0" applyAlignment="1" pivotButton="0" quotePrefix="0" xfId="0">
      <alignment horizontal="left" vertical="center"/>
    </xf>
    <xf numFmtId="165" fontId="15" fillId="5" borderId="0" applyAlignment="1" pivotButton="0" quotePrefix="0" xfId="0">
      <alignment horizontal="right" vertical="center"/>
    </xf>
    <xf numFmtId="0" fontId="18" fillId="5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general" vertical="bottom"/>
    </xf>
    <xf numFmtId="0" fontId="15" fillId="10" borderId="0" applyAlignment="1" pivotButton="0" quotePrefix="0" xfId="0">
      <alignment horizontal="left" vertical="center" indent="1"/>
    </xf>
    <xf numFmtId="0" fontId="16" fillId="10" borderId="0" applyAlignment="1" pivotButton="0" quotePrefix="0" xfId="0">
      <alignment horizontal="left" vertical="center"/>
    </xf>
    <xf numFmtId="165" fontId="19" fillId="10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left" vertical="center"/>
    </xf>
    <xf numFmtId="165" fontId="22" fillId="11" borderId="0" applyAlignment="1" pivotButton="0" quotePrefix="0" xfId="0">
      <alignment horizontal="right" vertical="center"/>
    </xf>
    <xf numFmtId="0" fontId="0" fillId="11" borderId="0" applyAlignment="1" pivotButton="0" quotePrefix="0" xfId="0">
      <alignment horizontal="general" vertical="bottom"/>
    </xf>
    <xf numFmtId="0" fontId="15" fillId="11" borderId="0" applyAlignment="1" pivotButton="0" quotePrefix="0" xfId="0">
      <alignment horizontal="left" vertical="center" indent="1"/>
    </xf>
    <xf numFmtId="0" fontId="16" fillId="11" borderId="0" applyAlignment="1" pivotButton="0" quotePrefix="0" xfId="0">
      <alignment horizontal="left" vertical="center"/>
    </xf>
    <xf numFmtId="165" fontId="15" fillId="11" borderId="0" applyAlignment="1" pivotButton="0" quotePrefix="0" xfId="0">
      <alignment horizontal="right" vertical="center"/>
    </xf>
    <xf numFmtId="0" fontId="21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15" fillId="12" borderId="0" applyAlignment="1" pivotButton="0" quotePrefix="0" xfId="0">
      <alignment horizontal="left" vertical="center" indent="1"/>
    </xf>
    <xf numFmtId="0" fontId="16" fillId="12" borderId="0" applyAlignment="1" pivotButton="0" quotePrefix="0" xfId="0">
      <alignment horizontal="left" vertical="center"/>
    </xf>
    <xf numFmtId="165" fontId="15" fillId="12" borderId="0" applyAlignment="1" pivotButton="0" quotePrefix="0" xfId="0">
      <alignment horizontal="right" vertical="center"/>
    </xf>
    <xf numFmtId="0" fontId="23" fillId="1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 indent="2"/>
    </xf>
    <xf numFmtId="165" fontId="24" fillId="2" borderId="0" applyAlignment="1" pivotButton="0" quotePrefix="0" xfId="0">
      <alignment horizontal="right" vertical="center"/>
    </xf>
    <xf numFmtId="165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25" fillId="4" borderId="0" applyAlignment="1" pivotButton="0" quotePrefix="0" xfId="0">
      <alignment horizontal="left" vertical="center" indent="2"/>
    </xf>
    <xf numFmtId="165" fontId="25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0" fontId="26" fillId="5" borderId="0" applyAlignment="1" pivotButton="0" quotePrefix="0" xfId="0">
      <alignment horizontal="left" vertical="center" indent="2"/>
    </xf>
    <xf numFmtId="165" fontId="26" fillId="5" borderId="0" applyAlignment="1" pivotButton="0" quotePrefix="0" xfId="0">
      <alignment horizontal="right" vertical="center"/>
    </xf>
    <xf numFmtId="0" fontId="27" fillId="6" borderId="0" applyAlignment="1" pivotButton="0" quotePrefix="0" xfId="0">
      <alignment horizontal="left" vertical="center" indent="2"/>
    </xf>
    <xf numFmtId="165" fontId="27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left" vertical="center" indent="2"/>
    </xf>
    <xf numFmtId="165" fontId="28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left" vertical="center"/>
    </xf>
    <xf numFmtId="165" fontId="22" fillId="12" borderId="0" applyAlignment="1" pivotButton="0" quotePrefix="0" xfId="0">
      <alignment horizontal="right" vertical="center"/>
    </xf>
    <xf numFmtId="0" fontId="15" fillId="6" borderId="0" applyAlignment="1" pivotButton="0" quotePrefix="0" xfId="0">
      <alignment horizontal="left" vertical="center" indent="1"/>
    </xf>
    <xf numFmtId="0" fontId="16" fillId="6" borderId="0" applyAlignment="1" pivotButton="0" quotePrefix="0" xfId="0">
      <alignment horizontal="left" vertical="center"/>
    </xf>
    <xf numFmtId="165" fontId="15" fillId="6" borderId="0" applyAlignment="1" pivotButton="0" quotePrefix="0" xfId="0">
      <alignment horizontal="right" vertical="center"/>
    </xf>
    <xf numFmtId="0" fontId="29" fillId="6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left" vertical="center"/>
    </xf>
    <xf numFmtId="165" fontId="22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30" fillId="12" borderId="0" applyAlignment="1" pivotButton="0" quotePrefix="0" xfId="0">
      <alignment horizontal="left" vertical="center"/>
    </xf>
    <xf numFmtId="0" fontId="31" fillId="10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32" fillId="11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33" fillId="9" borderId="0" applyAlignment="1" pivotButton="0" quotePrefix="0" xfId="0">
      <alignment horizontal="left" vertical="center" indent="1"/>
    </xf>
    <xf numFmtId="165" fontId="33" fillId="9" borderId="0" applyAlignment="1" pivotButton="0" quotePrefix="0" xfId="0">
      <alignment horizontal="right" vertical="center"/>
    </xf>
    <xf numFmtId="165" fontId="34" fillId="9" borderId="0" applyAlignment="1" pivotButton="0" quotePrefix="0" xfId="0">
      <alignment horizontal="right" vertical="center"/>
    </xf>
    <xf numFmtId="0" fontId="35" fillId="9" borderId="0" applyAlignment="1" pivotButton="0" quotePrefix="0" xfId="0">
      <alignment horizontal="left" vertical="center"/>
    </xf>
    <xf numFmtId="0" fontId="33" fillId="11" borderId="0" applyAlignment="1" pivotButton="0" quotePrefix="0" xfId="0">
      <alignment horizontal="left" vertical="center" indent="1"/>
    </xf>
    <xf numFmtId="165" fontId="33" fillId="11" borderId="0" applyAlignment="1" pivotButton="0" quotePrefix="0" xfId="0">
      <alignment horizontal="right" vertical="center"/>
    </xf>
    <xf numFmtId="165" fontId="36" fillId="11" borderId="0" applyAlignment="1" pivotButton="0" quotePrefix="0" xfId="0">
      <alignment horizontal="right" vertical="center"/>
    </xf>
    <xf numFmtId="0" fontId="35" fillId="11" borderId="0" applyAlignment="1" pivotButton="0" quotePrefix="0" xfId="0">
      <alignment horizontal="left" vertical="center"/>
    </xf>
    <xf numFmtId="165" fontId="34" fillId="11" borderId="0" applyAlignment="1" pivotButton="0" quotePrefix="0" xfId="0">
      <alignment horizontal="right" vertical="center"/>
    </xf>
    <xf numFmtId="165" fontId="36" fillId="9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indent="1"/>
    </xf>
    <xf numFmtId="165" fontId="25" fillId="2" borderId="0" applyAlignment="1" pivotButton="0" quotePrefix="0" xfId="0">
      <alignment horizontal="right" vertical="center"/>
    </xf>
    <xf numFmtId="0" fontId="10" fillId="13" borderId="0" applyAlignment="1" pivotButton="0" quotePrefix="0" xfId="0">
      <alignment horizontal="center" vertical="center"/>
    </xf>
    <xf numFmtId="0" fontId="33" fillId="9" borderId="0" applyAlignment="1" pivotButton="0" quotePrefix="0" xfId="0">
      <alignment horizontal="left" vertical="center"/>
    </xf>
    <xf numFmtId="0" fontId="36" fillId="9" borderId="0" applyAlignment="1" pivotButton="0" quotePrefix="0" xfId="0">
      <alignment horizontal="center" vertical="center"/>
    </xf>
    <xf numFmtId="0" fontId="33" fillId="6" borderId="0" applyAlignment="1" pivotButton="0" quotePrefix="0" xfId="0">
      <alignment horizontal="left" vertical="center" indent="1"/>
    </xf>
    <xf numFmtId="0" fontId="33" fillId="6" borderId="0" applyAlignment="1" pivotButton="0" quotePrefix="0" xfId="0">
      <alignment horizontal="left" vertical="center"/>
    </xf>
    <xf numFmtId="165" fontId="33" fillId="6" borderId="0" applyAlignment="1" pivotButton="0" quotePrefix="0" xfId="0">
      <alignment horizontal="right" vertical="center"/>
    </xf>
    <xf numFmtId="0" fontId="36" fillId="6" borderId="0" applyAlignment="1" pivotButton="0" quotePrefix="0" xfId="0">
      <alignment horizontal="center" vertical="center"/>
    </xf>
    <xf numFmtId="0" fontId="35" fillId="6" borderId="0" applyAlignment="1" pivotButton="0" quotePrefix="0" xfId="0">
      <alignment horizontal="left" vertical="center"/>
    </xf>
    <xf numFmtId="0" fontId="25" fillId="13" borderId="0" applyAlignment="1" pivotButton="0" quotePrefix="0" xfId="0">
      <alignment horizontal="left" vertical="center" indent="1"/>
    </xf>
    <xf numFmtId="0" fontId="0" fillId="13" borderId="0" applyAlignment="1" pivotButton="0" quotePrefix="0" xfId="0">
      <alignment horizontal="general" vertical="bottom"/>
    </xf>
    <xf numFmtId="165" fontId="25" fillId="1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horizontal="center" vertical="center"/>
    </xf>
    <xf numFmtId="164" fontId="10" fillId="4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164" fontId="12" fillId="6" borderId="0" applyAlignment="1" pivotButton="0" quotePrefix="0" xfId="0">
      <alignment horizontal="center" vertical="center"/>
    </xf>
    <xf numFmtId="164" fontId="13" fillId="7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15" fillId="9" borderId="0" applyAlignment="1" pivotButton="0" quotePrefix="0" xfId="0">
      <alignment horizontal="left" vertical="center" indent="1"/>
    </xf>
    <xf numFmtId="0" fontId="16" fillId="9" borderId="0" applyAlignment="1" pivotButton="0" quotePrefix="0" xfId="0">
      <alignment horizontal="left" vertical="center"/>
    </xf>
    <xf numFmtId="165" fontId="15" fillId="9" borderId="0" applyAlignment="1" pivotButton="0" quotePrefix="0" xfId="0">
      <alignment horizontal="right" vertical="center"/>
    </xf>
    <xf numFmtId="0" fontId="17" fillId="9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left" vertical="center" indent="1"/>
    </xf>
    <xf numFmtId="0" fontId="16" fillId="5" borderId="0" applyAlignment="1" pivotButton="0" quotePrefix="0" xfId="0">
      <alignment horizontal="left" vertical="center"/>
    </xf>
    <xf numFmtId="165" fontId="15" fillId="5" borderId="0" applyAlignment="1" pivotButton="0" quotePrefix="0" xfId="0">
      <alignment horizontal="right" vertical="center"/>
    </xf>
    <xf numFmtId="0" fontId="18" fillId="5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general" vertical="bottom"/>
    </xf>
    <xf numFmtId="0" fontId="15" fillId="10" borderId="0" applyAlignment="1" pivotButton="0" quotePrefix="0" xfId="0">
      <alignment horizontal="left" vertical="center" indent="1"/>
    </xf>
    <xf numFmtId="0" fontId="16" fillId="10" borderId="0" applyAlignment="1" pivotButton="0" quotePrefix="0" xfId="0">
      <alignment horizontal="left" vertical="center"/>
    </xf>
    <xf numFmtId="165" fontId="19" fillId="10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left" vertical="center"/>
    </xf>
    <xf numFmtId="165" fontId="22" fillId="11" borderId="0" applyAlignment="1" pivotButton="0" quotePrefix="0" xfId="0">
      <alignment horizontal="right" vertical="center"/>
    </xf>
    <xf numFmtId="0" fontId="0" fillId="11" borderId="0" applyAlignment="1" pivotButton="0" quotePrefix="0" xfId="0">
      <alignment horizontal="general" vertical="bottom"/>
    </xf>
    <xf numFmtId="0" fontId="15" fillId="11" borderId="0" applyAlignment="1" pivotButton="0" quotePrefix="0" xfId="0">
      <alignment horizontal="left" vertical="center" indent="1"/>
    </xf>
    <xf numFmtId="0" fontId="16" fillId="11" borderId="0" applyAlignment="1" pivotButton="0" quotePrefix="0" xfId="0">
      <alignment horizontal="left" vertical="center"/>
    </xf>
    <xf numFmtId="165" fontId="15" fillId="11" borderId="0" applyAlignment="1" pivotButton="0" quotePrefix="0" xfId="0">
      <alignment horizontal="right" vertical="center"/>
    </xf>
    <xf numFmtId="0" fontId="21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15" fillId="12" borderId="0" applyAlignment="1" pivotButton="0" quotePrefix="0" xfId="0">
      <alignment horizontal="left" vertical="center" indent="1"/>
    </xf>
    <xf numFmtId="0" fontId="16" fillId="12" borderId="0" applyAlignment="1" pivotButton="0" quotePrefix="0" xfId="0">
      <alignment horizontal="left" vertical="center"/>
    </xf>
    <xf numFmtId="165" fontId="15" fillId="12" borderId="0" applyAlignment="1" pivotButton="0" quotePrefix="0" xfId="0">
      <alignment horizontal="right" vertical="center"/>
    </xf>
    <xf numFmtId="0" fontId="23" fillId="1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 indent="2"/>
    </xf>
    <xf numFmtId="165" fontId="24" fillId="2" borderId="0" applyAlignment="1" pivotButton="0" quotePrefix="0" xfId="0">
      <alignment horizontal="right" vertical="center"/>
    </xf>
    <xf numFmtId="165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25" fillId="4" borderId="0" applyAlignment="1" pivotButton="0" quotePrefix="0" xfId="0">
      <alignment horizontal="left" vertical="center" indent="2"/>
    </xf>
    <xf numFmtId="165" fontId="25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0" fontId="26" fillId="5" borderId="0" applyAlignment="1" pivotButton="0" quotePrefix="0" xfId="0">
      <alignment horizontal="left" vertical="center" indent="2"/>
    </xf>
    <xf numFmtId="165" fontId="26" fillId="5" borderId="0" applyAlignment="1" pivotButton="0" quotePrefix="0" xfId="0">
      <alignment horizontal="right" vertical="center"/>
    </xf>
    <xf numFmtId="0" fontId="27" fillId="6" borderId="0" applyAlignment="1" pivotButton="0" quotePrefix="0" xfId="0">
      <alignment horizontal="left" vertical="center" indent="2"/>
    </xf>
    <xf numFmtId="165" fontId="27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28" fillId="7" borderId="0" applyAlignment="1" pivotButton="0" quotePrefix="0" xfId="0">
      <alignment horizontal="left" vertical="center" indent="2"/>
    </xf>
    <xf numFmtId="165" fontId="28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left" vertical="center"/>
    </xf>
    <xf numFmtId="165" fontId="22" fillId="12" borderId="0" applyAlignment="1" pivotButton="0" quotePrefix="0" xfId="0">
      <alignment horizontal="right" vertical="center"/>
    </xf>
    <xf numFmtId="0" fontId="15" fillId="6" borderId="0" applyAlignment="1" pivotButton="0" quotePrefix="0" xfId="0">
      <alignment horizontal="left" vertical="center" indent="1"/>
    </xf>
    <xf numFmtId="0" fontId="16" fillId="6" borderId="0" applyAlignment="1" pivotButton="0" quotePrefix="0" xfId="0">
      <alignment horizontal="left" vertical="center"/>
    </xf>
    <xf numFmtId="165" fontId="15" fillId="6" borderId="0" applyAlignment="1" pivotButton="0" quotePrefix="0" xfId="0">
      <alignment horizontal="right" vertical="center"/>
    </xf>
    <xf numFmtId="0" fontId="29" fillId="6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left" vertical="center"/>
    </xf>
    <xf numFmtId="165" fontId="22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30" fillId="12" borderId="0" applyAlignment="1" pivotButton="0" quotePrefix="0" xfId="0">
      <alignment horizontal="left" vertical="center"/>
    </xf>
    <xf numFmtId="0" fontId="31" fillId="10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32" fillId="11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33" fillId="9" borderId="0" applyAlignment="1" pivotButton="0" quotePrefix="0" xfId="0">
      <alignment horizontal="left" vertical="center" indent="1"/>
    </xf>
    <xf numFmtId="165" fontId="33" fillId="9" borderId="0" applyAlignment="1" pivotButton="0" quotePrefix="0" xfId="0">
      <alignment horizontal="right" vertical="center"/>
    </xf>
    <xf numFmtId="165" fontId="34" fillId="9" borderId="0" applyAlignment="1" pivotButton="0" quotePrefix="0" xfId="0">
      <alignment horizontal="right" vertical="center"/>
    </xf>
    <xf numFmtId="0" fontId="35" fillId="9" borderId="0" applyAlignment="1" pivotButton="0" quotePrefix="0" xfId="0">
      <alignment horizontal="left" vertical="center"/>
    </xf>
    <xf numFmtId="0" fontId="33" fillId="11" borderId="0" applyAlignment="1" pivotButton="0" quotePrefix="0" xfId="0">
      <alignment horizontal="left" vertical="center" indent="1"/>
    </xf>
    <xf numFmtId="165" fontId="33" fillId="11" borderId="0" applyAlignment="1" pivotButton="0" quotePrefix="0" xfId="0">
      <alignment horizontal="right" vertical="center"/>
    </xf>
    <xf numFmtId="165" fontId="36" fillId="11" borderId="0" applyAlignment="1" pivotButton="0" quotePrefix="0" xfId="0">
      <alignment horizontal="right" vertical="center"/>
    </xf>
    <xf numFmtId="0" fontId="35" fillId="11" borderId="0" applyAlignment="1" pivotButton="0" quotePrefix="0" xfId="0">
      <alignment horizontal="left" vertical="center"/>
    </xf>
    <xf numFmtId="165" fontId="34" fillId="11" borderId="0" applyAlignment="1" pivotButton="0" quotePrefix="0" xfId="0">
      <alignment horizontal="right" vertical="center"/>
    </xf>
    <xf numFmtId="165" fontId="36" fillId="9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indent="1"/>
    </xf>
    <xf numFmtId="165" fontId="25" fillId="2" borderId="0" applyAlignment="1" pivotButton="0" quotePrefix="0" xfId="0">
      <alignment horizontal="right" vertical="center"/>
    </xf>
    <xf numFmtId="0" fontId="10" fillId="13" borderId="0" applyAlignment="1" pivotButton="0" quotePrefix="0" xfId="0">
      <alignment horizontal="center" vertical="center"/>
    </xf>
    <xf numFmtId="0" fontId="33" fillId="9" borderId="0" applyAlignment="1" pivotButton="0" quotePrefix="0" xfId="0">
      <alignment horizontal="left" vertical="center"/>
    </xf>
    <xf numFmtId="0" fontId="36" fillId="9" borderId="0" applyAlignment="1" pivotButton="0" quotePrefix="0" xfId="0">
      <alignment horizontal="center" vertical="center"/>
    </xf>
    <xf numFmtId="0" fontId="33" fillId="6" borderId="0" applyAlignment="1" pivotButton="0" quotePrefix="0" xfId="0">
      <alignment horizontal="left" vertical="center" indent="1"/>
    </xf>
    <xf numFmtId="0" fontId="33" fillId="6" borderId="0" applyAlignment="1" pivotButton="0" quotePrefix="0" xfId="0">
      <alignment horizontal="left" vertical="center"/>
    </xf>
    <xf numFmtId="165" fontId="33" fillId="6" borderId="0" applyAlignment="1" pivotButton="0" quotePrefix="0" xfId="0">
      <alignment horizontal="right" vertical="center"/>
    </xf>
    <xf numFmtId="0" fontId="36" fillId="6" borderId="0" applyAlignment="1" pivotButton="0" quotePrefix="0" xfId="0">
      <alignment horizontal="center" vertical="center"/>
    </xf>
    <xf numFmtId="0" fontId="35" fillId="6" borderId="0" applyAlignment="1" pivotButton="0" quotePrefix="0" xfId="0">
      <alignment horizontal="left" vertical="center"/>
    </xf>
    <xf numFmtId="0" fontId="25" fillId="13" borderId="0" applyAlignment="1" pivotButton="0" quotePrefix="0" xfId="0">
      <alignment horizontal="left" vertical="center" indent="1"/>
    </xf>
    <xf numFmtId="0" fontId="0" fillId="13" borderId="0" applyAlignment="1" pivotButton="0" quotePrefix="0" xfId="0">
      <alignment horizontal="general" vertical="bottom"/>
    </xf>
    <xf numFmtId="165" fontId="25" fillId="13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5A"/>
      <rgbColor rgb="FFC0C0C0"/>
      <rgbColor rgb="FF808080"/>
      <rgbColor rgb="FF9999FF"/>
      <rgbColor rgb="FF633806"/>
      <rgbColor rgb="FFFAEEDA"/>
      <rgbColor rgb="FFE1F5EE"/>
      <rgbColor rgb="FF660066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5F5F5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C447C"/>
      <rgbColor rgb="FF2D9B7F"/>
      <rgbColor rgb="FF27500A"/>
      <rgbColor rgb="FF1E1E1E"/>
      <rgbColor rgb="FF993C1D"/>
      <rgbColor rgb="FF993366"/>
      <rgbColor rgb="FF3C3489"/>
      <rgbColor rgb="FF44444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7" topLeftCell="B33" activePane="bottomRight" state="frozen"/>
      <selection pane="topLeft" activeCell="A1" activeCellId="0" sqref="A1"/>
      <selection pane="topRight" activeCell="B1" activeCellId="0" sqref="B1"/>
      <selection pane="bottomLeft" activeCell="A33" activeCellId="0" sqref="A33"/>
      <selection pane="bottomRight" activeCell="E45" activeCellId="0" sqref="E45"/>
    </sheetView>
  </sheetViews>
  <sheetFormatPr baseColWidth="8" defaultColWidth="8.66796875" defaultRowHeight="15" zeroHeight="0" outlineLevelRow="0"/>
  <cols>
    <col width="4" customWidth="1" style="97" min="1" max="1"/>
    <col width="36" customWidth="1" style="97" min="2" max="2"/>
    <col width="22" customWidth="1" style="97" min="3" max="3"/>
    <col width="14" customWidth="1" style="97" min="4" max="4"/>
    <col width="18.5" customWidth="1" style="97" min="5" max="5"/>
    <col width="18" customWidth="1" style="97" min="6" max="6"/>
  </cols>
  <sheetData>
    <row r="1" ht="30" customHeight="1" s="98">
      <c r="A1" s="99" t="inlineStr">
        <is>
          <t>CHS 5.0 — Nature to Neon  |  July 12–20, 2026</t>
        </is>
      </c>
    </row>
    <row r="2" ht="18" customHeight="1" s="98">
      <c r="A2" s="100" t="inlineStr">
        <is>
          <t>BNA → LAS  |  Shelden Family Budget Tracker</t>
        </is>
      </c>
    </row>
    <row r="3" ht="7.5" customHeight="1" s="98"/>
    <row r="4" ht="18" customHeight="1" s="98">
      <c r="B4" s="101" t="inlineStr">
        <is>
          <t>TOTAL TRIP COST</t>
        </is>
      </c>
      <c r="C4" s="102" t="inlineStr">
        <is>
          <t>ALREADY PAID</t>
        </is>
      </c>
      <c r="D4" s="103" t="inlineStr">
        <is>
          <t>STILL TO SPEND</t>
        </is>
      </c>
      <c r="E4" s="104" t="inlineStr">
        <is>
          <t>HELICOPTER REIMBURSEMENTS</t>
        </is>
      </c>
      <c r="F4" s="105" t="inlineStr">
        <is>
          <t>STILL TO PAY (Net)</t>
        </is>
      </c>
    </row>
    <row r="5" ht="25.5" customHeight="1" s="98">
      <c r="B5" s="106">
        <f>SUM(D13,D17,D23,D37,D42)</f>
        <v/>
      </c>
      <c r="C5" s="107">
        <f>SUM(E13,E17,E23,E37,E42)</f>
        <v/>
      </c>
      <c r="D5" s="108">
        <f>B5-C5</f>
        <v/>
      </c>
      <c r="E5" s="109" t="n">
        <v>875</v>
      </c>
      <c r="F5" s="110">
        <f>B5-C5-E5</f>
        <v/>
      </c>
    </row>
    <row r="6" ht="7.5" customHeight="1" s="98"/>
    <row r="7" ht="18" customHeight="1" s="98">
      <c r="A7" s="111" t="n"/>
      <c r="B7" s="111" t="inlineStr">
        <is>
          <t>Description</t>
        </is>
      </c>
      <c r="C7" s="112" t="inlineStr">
        <is>
          <t>Notes</t>
        </is>
      </c>
      <c r="D7" s="112" t="inlineStr">
        <is>
          <t>Budgeted</t>
        </is>
      </c>
      <c r="E7" s="112" t="inlineStr">
        <is>
          <t>Paid to Date</t>
        </is>
      </c>
      <c r="F7" s="112" t="inlineStr">
        <is>
          <t>Status</t>
        </is>
      </c>
    </row>
    <row r="8" ht="15.75" customHeight="1" s="98">
      <c r="A8" s="113" t="inlineStr">
        <is>
          <t xml:space="preserve">  ✈  TRAVEL</t>
        </is>
      </c>
    </row>
    <row r="9" ht="18" customHeight="1" s="98">
      <c r="A9" s="114" t="n"/>
      <c r="B9" s="115" t="inlineStr">
        <is>
          <t>Outbound — BNA to LAS (Southwest)</t>
        </is>
      </c>
      <c r="C9" s="116" t="inlineStr">
        <is>
          <t>Jul 12 · 7:55 AM · 5 pts + 2 companion fares</t>
        </is>
      </c>
      <c r="D9" s="117" t="n">
        <v>800</v>
      </c>
      <c r="E9" s="117" t="n">
        <v>800</v>
      </c>
      <c r="F9" s="118" t="inlineStr">
        <is>
          <t>PAID</t>
        </is>
      </c>
    </row>
    <row r="10" ht="18" customHeight="1" s="98">
      <c r="A10" s="119" t="n"/>
      <c r="B10" s="120" t="inlineStr">
        <is>
          <t>Return — LAS to BNA (Southwest)</t>
        </is>
      </c>
      <c r="C10" s="121" t="inlineStr">
        <is>
          <t>Jul 20 · 1:00 PM → BNA 6:45 PM · 2 adults @ $325 · kids on pts</t>
        </is>
      </c>
      <c r="D10" s="122" t="n">
        <v>650</v>
      </c>
      <c r="E10" s="122" t="n">
        <v>0</v>
      </c>
      <c r="F10" s="123" t="inlineStr">
        <is>
          <t>TO BOOK</t>
        </is>
      </c>
    </row>
    <row r="11" ht="18" customHeight="1" s="98">
      <c r="A11" s="114" t="n"/>
      <c r="B11" s="115" t="inlineStr">
        <is>
          <t>Car Rental</t>
        </is>
      </c>
      <c r="C11" s="116" t="inlineStr">
        <is>
          <t>Jul 12–20 · LAS pickup/dropoff</t>
        </is>
      </c>
      <c r="D11" s="117" t="n">
        <v>800</v>
      </c>
      <c r="E11" s="117" t="n">
        <v>0</v>
      </c>
      <c r="F11" s="118" t="inlineStr">
        <is>
          <t>DUE</t>
        </is>
      </c>
    </row>
    <row r="12" ht="18" customHeight="1" s="98">
      <c r="A12" s="124" t="n"/>
      <c r="B12" s="125" t="inlineStr">
        <is>
          <t>Gas</t>
        </is>
      </c>
      <c r="C12" s="126" t="inlineStr">
        <is>
          <t>LAS→Bryce · Bryce→Zion · Zion→Vegas</t>
        </is>
      </c>
      <c r="D12" s="127" t="n">
        <v>150</v>
      </c>
      <c r="E12" s="127" t="n">
        <v>0</v>
      </c>
      <c r="F12" s="128" t="inlineStr">
        <is>
          <t>ESTIMATE</t>
        </is>
      </c>
    </row>
    <row r="13" ht="15.75" customHeight="1" s="98">
      <c r="A13" s="129" t="inlineStr">
        <is>
          <t xml:space="preserve">  Travel Subtotal</t>
        </is>
      </c>
      <c r="D13" s="130">
        <f>SUM(D9:D12)</f>
        <v/>
      </c>
      <c r="E13" s="130">
        <f>SUM(E9:E12)</f>
        <v/>
      </c>
      <c r="F13" s="131" t="n"/>
    </row>
    <row r="14" ht="15.75" customHeight="1" s="98">
      <c r="A14" s="113" t="inlineStr">
        <is>
          <t xml:space="preserve">  🏕  PART 1 — BRYCE CANYON  (JUL 12–13)</t>
        </is>
      </c>
    </row>
    <row r="15" ht="18" customHeight="1" s="98">
      <c r="A15" s="114" t="n"/>
      <c r="B15" s="115" t="inlineStr">
        <is>
          <t>Clear Sky Resorts — 2 nights</t>
        </is>
      </c>
      <c r="C15" s="116" t="inlineStr">
        <is>
          <t>Jul 12–14</t>
        </is>
      </c>
      <c r="D15" s="117" t="n">
        <v>2420</v>
      </c>
      <c r="E15" s="117" t="n">
        <v>2420</v>
      </c>
      <c r="F15" s="118" t="inlineStr">
        <is>
          <t>PAID</t>
        </is>
      </c>
    </row>
    <row r="16" ht="18" customHeight="1" s="98">
      <c r="A16" s="124" t="n"/>
      <c r="B16" s="125" t="inlineStr">
        <is>
          <t>Casual dinners — Days 1 &amp; 2</t>
        </is>
      </c>
      <c r="C16" s="126" t="inlineStr">
        <is>
          <t>Shelden party of 5 · near Bryce</t>
        </is>
      </c>
      <c r="D16" s="127" t="n">
        <v>150</v>
      </c>
      <c r="E16" s="127" t="n">
        <v>0</v>
      </c>
      <c r="F16" s="128" t="inlineStr">
        <is>
          <t>ESTIMATE</t>
        </is>
      </c>
    </row>
    <row r="17" ht="15.75" customHeight="1" s="98">
      <c r="A17" s="129" t="inlineStr">
        <is>
          <t xml:space="preserve">  Bryce Subtotal</t>
        </is>
      </c>
      <c r="D17" s="130">
        <f>SUM(D15:D16)</f>
        <v/>
      </c>
      <c r="E17" s="130">
        <f>SUM(E15:E16)</f>
        <v/>
      </c>
      <c r="F17" s="131" t="n"/>
    </row>
    <row r="18" ht="15.75" customHeight="1" s="98">
      <c r="A18" s="113" t="inlineStr">
        <is>
          <t xml:space="preserve">  🏔  PART 2 — ZION  (JUL 14–16)</t>
        </is>
      </c>
    </row>
    <row r="19" ht="18" customHeight="1" s="98">
      <c r="A19" s="114" t="n"/>
      <c r="B19" s="115" t="inlineStr">
        <is>
          <t>Open Sky Resort — 3 nights</t>
        </is>
      </c>
      <c r="C19" s="116" t="inlineStr">
        <is>
          <t>Jul 14–17 · full group joins Day 3</t>
        </is>
      </c>
      <c r="D19" s="117" t="n">
        <v>1965</v>
      </c>
      <c r="E19" s="117" t="n">
        <v>1965</v>
      </c>
      <c r="F19" s="118" t="inlineStr">
        <is>
          <t>PAID</t>
        </is>
      </c>
    </row>
    <row r="20" ht="18" customHeight="1" s="98">
      <c r="A20" s="124" t="n"/>
      <c r="B20" s="125" t="inlineStr">
        <is>
          <t>Black Sage birthday dinner — 9 people</t>
        </is>
      </c>
      <c r="C20" s="126" t="inlineStr">
        <is>
          <t>Day 4 · Wed Jul 15 · 6:00 PM</t>
        </is>
      </c>
      <c r="D20" s="127" t="n">
        <v>750</v>
      </c>
      <c r="E20" s="127" t="n">
        <v>0</v>
      </c>
      <c r="F20" s="128" t="inlineStr">
        <is>
          <t>ESTIMATE</t>
        </is>
      </c>
    </row>
    <row r="21" ht="18" customHeight="1" s="98">
      <c r="A21" s="124" t="n"/>
      <c r="B21" s="125" t="inlineStr">
        <is>
          <t>Open Sky activities — Shelden party of 5</t>
        </is>
      </c>
      <c r="C21" s="126" t="inlineStr">
        <is>
          <t>E-bikes + canyo + Gems · Dannheims invoiced separately ($1,170.49)</t>
        </is>
      </c>
      <c r="D21" s="127" t="n">
        <v>1370.35</v>
      </c>
      <c r="E21" s="127" t="n">
        <v>0</v>
      </c>
      <c r="F21" s="128" t="inlineStr">
        <is>
          <t>DUE</t>
        </is>
      </c>
    </row>
    <row r="22" ht="18" customHeight="1" s="98">
      <c r="A22" s="124" t="n"/>
      <c r="B22" s="125" t="inlineStr">
        <is>
          <t>Casual group dinners — Days 3 &amp; 5</t>
        </is>
      </c>
      <c r="C22" s="126" t="inlineStr">
        <is>
          <t>Day 3 welcome dinner · Day 5 Wild Thyme</t>
        </is>
      </c>
      <c r="D22" s="127" t="n">
        <v>200</v>
      </c>
      <c r="E22" s="127" t="n">
        <v>0</v>
      </c>
      <c r="F22" s="128" t="inlineStr">
        <is>
          <t>ESTIMATE</t>
        </is>
      </c>
    </row>
    <row r="23" ht="15.75" customHeight="1" s="98">
      <c r="A23" s="129" t="inlineStr">
        <is>
          <t xml:space="preserve">  Zion Subtotal</t>
        </is>
      </c>
      <c r="D23" s="130">
        <f>SUM(D19:D22)</f>
        <v/>
      </c>
      <c r="E23" s="130">
        <f>SUM(E19:E22)</f>
        <v/>
      </c>
      <c r="F23" s="131" t="n"/>
    </row>
    <row r="24" ht="15.75" customHeight="1" s="98">
      <c r="A24" s="113" t="inlineStr">
        <is>
          <t xml:space="preserve">  🎰  PART 3 — LAS VEGAS  (JUL 17–20)  ·  SHELDEN AS HOST</t>
        </is>
      </c>
    </row>
    <row r="25" ht="18" customHeight="1" s="98">
      <c r="A25" s="131" t="n"/>
      <c r="B25" s="132" t="inlineStr">
        <is>
          <t>Our room — The Cosmopolitan</t>
        </is>
      </c>
      <c r="C25" s="133" t="inlineStr">
        <is>
          <t>Jul 17–20 · comped</t>
        </is>
      </c>
      <c r="D25" s="134" t="n">
        <v>0</v>
      </c>
      <c r="E25" s="134" t="n">
        <v>0</v>
      </c>
      <c r="F25" s="135" t="inlineStr">
        <is>
          <t>COMPED</t>
        </is>
      </c>
    </row>
    <row r="26" ht="18" customHeight="1" s="98">
      <c r="A26" s="119" t="n"/>
      <c r="B26" s="120" t="inlineStr">
        <is>
          <t>Cosmo balcony suite — kids</t>
        </is>
      </c>
      <c r="C26" s="121" t="inlineStr">
        <is>
          <t>$650 deposit paid · $1,450 remaining</t>
        </is>
      </c>
      <c r="D26" s="122" t="n">
        <v>2100</v>
      </c>
      <c r="E26" s="122" t="n">
        <v>650</v>
      </c>
      <c r="F26" s="123" t="inlineStr">
        <is>
          <t>BAL DUE $1,450</t>
        </is>
      </c>
    </row>
    <row r="27" ht="18" customHeight="1" s="98">
      <c r="A27" s="124" t="n"/>
      <c r="B27" s="125" t="inlineStr">
        <is>
          <t>STRAT Tower thrill rides</t>
        </is>
      </c>
      <c r="C27" s="126" t="inlineStr">
        <is>
          <t>Day 6 · Fri Jul 17 · en route · 5 people</t>
        </is>
      </c>
      <c r="D27" s="127" t="n">
        <v>100</v>
      </c>
      <c r="E27" s="127" t="n">
        <v>0</v>
      </c>
      <c r="F27" s="128" t="inlineStr">
        <is>
          <t>ESTIMATE</t>
        </is>
      </c>
    </row>
    <row r="28" ht="18" customHeight="1" s="98">
      <c r="A28" s="136" t="n"/>
      <c r="B28" s="137" t="inlineStr">
        <is>
          <t>Pool cabana — Friday afternoon</t>
        </is>
      </c>
      <c r="C28" s="138" t="inlineStr">
        <is>
          <t>Day 6 · 3:00–6:00 PM · full group · HOST</t>
        </is>
      </c>
      <c r="D28" s="139" t="n">
        <v>650</v>
      </c>
      <c r="E28" s="139" t="n">
        <v>0</v>
      </c>
      <c r="F28" s="140" t="inlineStr">
        <is>
          <t>HOSTING</t>
        </is>
      </c>
    </row>
    <row r="29" ht="18" customHeight="1" s="98">
      <c r="A29" s="136" t="n"/>
      <c r="B29" s="137" t="inlineStr">
        <is>
          <t>Mon Ami Gabi dinner — 19 people</t>
        </is>
      </c>
      <c r="C29" s="138" t="inlineStr">
        <is>
          <t>Day 6 · Fri Jul 17 · 7:00 PM · Paris Hotel · Eiffel viewing deck after · HOST</t>
        </is>
      </c>
      <c r="D29" s="139" t="n">
        <v>1700</v>
      </c>
      <c r="E29" s="139" t="n">
        <v>0</v>
      </c>
      <c r="F29" s="140" t="inlineStr">
        <is>
          <t>HOSTING</t>
        </is>
      </c>
    </row>
    <row r="30" ht="18" customHeight="1" s="98">
      <c r="A30" s="124" t="n"/>
      <c r="B30" s="125" t="inlineStr">
        <is>
          <t>Brunch at The Henry</t>
        </is>
      </c>
      <c r="C30" s="126" t="inlineStr">
        <is>
          <t>Day 7 · Sat Jul 18 · 11:30 AM · Shelden party</t>
        </is>
      </c>
      <c r="D30" s="127" t="n">
        <v>200</v>
      </c>
      <c r="E30" s="127" t="n">
        <v>0</v>
      </c>
      <c r="F30" s="128" t="inlineStr">
        <is>
          <t>ESTIMATE</t>
        </is>
      </c>
    </row>
    <row r="31" ht="18" customHeight="1" s="98">
      <c r="A31" s="119" t="n"/>
      <c r="B31" s="120" t="inlineStr">
        <is>
          <t>The Sphere — Wizard of Oz · 5 tickets</t>
        </is>
      </c>
      <c r="C31" s="121" t="inlineStr">
        <is>
          <t>Day 7 · 2:00 PM · 2 adults + 3 kids @ $175</t>
        </is>
      </c>
      <c r="D31" s="122" t="n">
        <v>875</v>
      </c>
      <c r="E31" s="122" t="n">
        <v>0</v>
      </c>
      <c r="F31" s="123" t="inlineStr">
        <is>
          <t>DUE</t>
        </is>
      </c>
    </row>
    <row r="32" ht="18" customHeight="1" s="98">
      <c r="A32" s="124" t="n"/>
      <c r="B32" s="125" t="inlineStr">
        <is>
          <t>AREA15 — The Beast dinner — 19 people</t>
        </is>
      </c>
      <c r="C32" s="126" t="inlineStr">
        <is>
          <t>Day 7 · Sat Jul 18 · 7:00 PM · group dining · HOST</t>
        </is>
      </c>
      <c r="D32" s="127" t="n">
        <v>1500</v>
      </c>
      <c r="E32" s="127" t="n">
        <v>0</v>
      </c>
      <c r="F32" s="128" t="inlineStr">
        <is>
          <t>HOSTING</t>
        </is>
      </c>
    </row>
    <row r="33" ht="18" customHeight="1" s="98">
      <c r="A33" s="119" t="n"/>
      <c r="B33" s="120" t="inlineStr">
        <is>
          <t>AREA15 — Omega Mart tickets (optional host)</t>
        </is>
      </c>
      <c r="C33" s="121" t="inlineStr">
        <is>
          <t>Day 7 · ~$58/pp × 19 · Venmo-optional from guests</t>
        </is>
      </c>
      <c r="D33" s="122" t="n">
        <v>1100</v>
      </c>
      <c r="E33" s="122" t="n">
        <v>0</v>
      </c>
      <c r="F33" s="123" t="inlineStr">
        <is>
          <t>DUE</t>
        </is>
      </c>
    </row>
    <row r="34" ht="18" customHeight="1" s="98">
      <c r="A34" s="124" t="n"/>
      <c r="B34" s="125" t="inlineStr">
        <is>
          <t>Brunch at Wicked Spoon</t>
        </is>
      </c>
      <c r="C34" s="126" t="inlineStr">
        <is>
          <t>Day 8 · Sun Jul 19 · 11:45 AM · Shelden party</t>
        </is>
      </c>
      <c r="D34" s="127" t="n">
        <v>200</v>
      </c>
      <c r="E34" s="127" t="n">
        <v>0</v>
      </c>
      <c r="F34" s="128" t="inlineStr">
        <is>
          <t>ESTIMATE</t>
        </is>
      </c>
    </row>
    <row r="35" ht="18" customHeight="1" s="98">
      <c r="A35" s="114" t="n"/>
      <c r="B35" s="115" t="inlineStr">
        <is>
          <t>Maverick Helicopter — 12 people</t>
        </is>
      </c>
      <c r="C35" s="116" t="inlineStr">
        <is>
          <t>Day 8 · 6:00 PM · 3 guests Venmo you ~$875</t>
        </is>
      </c>
      <c r="D35" s="117" t="n">
        <v>3500</v>
      </c>
      <c r="E35" s="117" t="n">
        <v>3500</v>
      </c>
      <c r="F35" s="118" t="inlineStr">
        <is>
          <t>PAID</t>
        </is>
      </c>
    </row>
    <row r="36" ht="18" customHeight="1" s="98">
      <c r="A36" s="124" t="n"/>
      <c r="B36" s="125" t="inlineStr">
        <is>
          <t>Celebratory drinks + farewell dinner</t>
        </is>
      </c>
      <c r="C36" s="126" t="inlineStr">
        <is>
          <t>Day 8 · Sun Jul 19 evening · full group</t>
        </is>
      </c>
      <c r="D36" s="127" t="n">
        <v>300</v>
      </c>
      <c r="E36" s="127" t="n">
        <v>0</v>
      </c>
      <c r="F36" s="128" t="inlineStr">
        <is>
          <t>ESTIMATE</t>
        </is>
      </c>
    </row>
    <row r="37" ht="15.75" customHeight="1" s="98">
      <c r="A37" s="129" t="inlineStr">
        <is>
          <t xml:space="preserve">  Las Vegas Subtotal</t>
        </is>
      </c>
      <c r="D37" s="130">
        <f>SUM(D25:D36)</f>
        <v/>
      </c>
      <c r="E37" s="130">
        <f>SUM(E25:E36)</f>
        <v/>
      </c>
      <c r="F37" s="131" t="n"/>
    </row>
    <row r="38" ht="15.75" customHeight="1" s="98">
      <c r="A38" s="113" t="inlineStr">
        <is>
          <t xml:space="preserve">  🛒  SNACKS, BOOZE &amp; MISC — FULL TRIP</t>
        </is>
      </c>
    </row>
    <row r="39" ht="18" customHeight="1" s="98">
      <c r="A39" s="124" t="n"/>
      <c r="B39" s="125" t="inlineStr">
        <is>
          <t>Snacks, drinks &amp; sundries</t>
        </is>
      </c>
      <c r="C39" s="126" t="inlineStr">
        <is>
          <t>All 9 days — Bryce, Zion &amp; Vegas</t>
        </is>
      </c>
      <c r="D39" s="127" t="n">
        <v>500</v>
      </c>
      <c r="E39" s="127" t="n">
        <v>0</v>
      </c>
      <c r="F39" s="128" t="inlineStr">
        <is>
          <t>ESTIMATE</t>
        </is>
      </c>
    </row>
    <row r="40" ht="18" customHeight="1" s="98">
      <c r="A40" s="124" t="n"/>
      <c r="B40" s="125" t="inlineStr">
        <is>
          <t>Booze / pool drinks / bars</t>
        </is>
      </c>
      <c r="C40" s="126" t="inlineStr">
        <is>
          <t>Vegas especially adds up fast</t>
        </is>
      </c>
      <c r="D40" s="127" t="n">
        <v>500</v>
      </c>
      <c r="E40" s="127" t="n">
        <v>0</v>
      </c>
      <c r="F40" s="128" t="inlineStr">
        <is>
          <t>ESTIMATE</t>
        </is>
      </c>
    </row>
    <row r="41" ht="18" customHeight="1" s="98">
      <c r="A41" s="124" t="n"/>
      <c r="B41" s="125" t="inlineStr">
        <is>
          <t>Tips &amp; gratuities</t>
        </is>
      </c>
      <c r="C41" s="126" t="inlineStr">
        <is>
          <t>Guides, servers, drivers across all days</t>
        </is>
      </c>
      <c r="D41" s="127" t="n">
        <v>300</v>
      </c>
      <c r="E41" s="127" t="n">
        <v>0</v>
      </c>
      <c r="F41" s="128" t="inlineStr">
        <is>
          <t>ESTIMATE</t>
        </is>
      </c>
    </row>
    <row r="42" ht="15.75" customHeight="1" s="98">
      <c r="A42" s="129" t="inlineStr">
        <is>
          <t xml:space="preserve">  Misc Subtotal</t>
        </is>
      </c>
      <c r="D42" s="130">
        <f>SUM(D39:D41)</f>
        <v/>
      </c>
      <c r="E42" s="130">
        <f>SUM(E39:E41)</f>
        <v/>
      </c>
      <c r="F42" s="131" t="n"/>
    </row>
    <row r="43" ht="7.5" customHeight="1" s="98"/>
    <row r="44" ht="19.5" customHeight="1" s="98">
      <c r="A44" s="141" t="inlineStr">
        <is>
          <t>TOTAL TRIP COST</t>
        </is>
      </c>
      <c r="D44" s="142">
        <f>SUM(D13,D17,D23,D37,D42)</f>
        <v/>
      </c>
      <c r="E44" s="143">
        <f>E13+E17+E23+E37+E42</f>
        <v/>
      </c>
      <c r="F44" s="144" t="n"/>
    </row>
    <row r="45" ht="19.5" customHeight="1" s="98">
      <c r="A45" s="145" t="inlineStr">
        <is>
          <t>ALREADY PAID</t>
        </is>
      </c>
      <c r="D45" s="146">
        <f>SUM(E13,E17,E23,E37,E42)</f>
        <v/>
      </c>
      <c r="E45" s="147" t="n"/>
      <c r="F45" s="147" t="n"/>
    </row>
    <row r="46" ht="19.5" customHeight="1" s="98">
      <c r="A46" s="148" t="inlineStr">
        <is>
          <t>STILL TO SPEND</t>
        </is>
      </c>
      <c r="D46" s="149">
        <f>D44-E44</f>
        <v/>
      </c>
      <c r="E46" s="119" t="n"/>
      <c r="F46" s="119" t="n"/>
    </row>
    <row r="47" ht="19.5" customHeight="1" s="98">
      <c r="A47" s="150" t="inlineStr">
        <is>
          <t>HELICOPTER REIMBURSEMENTS (–)</t>
        </is>
      </c>
      <c r="D47" s="151" t="n">
        <v>-875</v>
      </c>
      <c r="E47" s="152" t="n"/>
      <c r="F47" s="152" t="n"/>
    </row>
    <row r="48" ht="19.5" customHeight="1" s="98">
      <c r="A48" s="153" t="inlineStr">
        <is>
          <t>NET OUT-OF-POCKET</t>
        </is>
      </c>
      <c r="D48" s="154">
        <f>D44+D47</f>
        <v/>
      </c>
      <c r="E48" s="155" t="n"/>
      <c r="F48" s="155" t="n"/>
    </row>
    <row r="49" ht="7.5" customHeight="1" s="98"/>
    <row r="50" ht="15.75" customHeight="1" s="98">
      <c r="A50" s="113" t="inlineStr">
        <is>
          <t xml:space="preserve">  🍽  HOSTING COSTS — COVERED BY SHELDEN FAMILY</t>
        </is>
      </c>
    </row>
    <row r="51" ht="18" customHeight="1" s="98">
      <c r="A51" s="136" t="n"/>
      <c r="B51" s="137" t="inlineStr">
        <is>
          <t>Pool cabana — Friday afternoon</t>
        </is>
      </c>
      <c r="C51" s="138" t="inlineStr">
        <is>
          <t>Day 6 · 3:00–6:00 PM · full group</t>
        </is>
      </c>
      <c r="D51" s="139" t="n">
        <v>650</v>
      </c>
      <c r="E51" s="139" t="n">
        <v>0</v>
      </c>
      <c r="F51" s="140" t="inlineStr">
        <is>
          <t>HOSTING</t>
        </is>
      </c>
    </row>
    <row r="52" ht="18" customHeight="1" s="98">
      <c r="A52" s="136" t="n"/>
      <c r="B52" s="137" t="inlineStr">
        <is>
          <t>Eiffel Tower Restaurant — 9 people</t>
        </is>
      </c>
      <c r="C52" s="138" t="inlineStr">
        <is>
          <t>$1,600 food + ~$240 gratuity</t>
        </is>
      </c>
      <c r="D52" s="139" t="n">
        <v>1840</v>
      </c>
      <c r="E52" s="139" t="n">
        <v>0</v>
      </c>
      <c r="F52" s="140" t="inlineStr">
        <is>
          <t>HOSTING</t>
        </is>
      </c>
    </row>
    <row r="53" ht="15.75" customHeight="1" s="98">
      <c r="A53" s="156" t="inlineStr">
        <is>
          <t xml:space="preserve">  Total Hosting Tab</t>
        </is>
      </c>
      <c r="D53" s="157">
        <f>SUM(D51:D52)</f>
        <v/>
      </c>
      <c r="E53" s="157">
        <f>SUM(E51:E52)</f>
        <v/>
      </c>
      <c r="F53" s="136" t="n"/>
    </row>
    <row r="54" ht="7.5" customHeight="1" s="98"/>
    <row r="55" ht="15.75" customHeight="1" s="98">
      <c r="A55" s="113" t="inlineStr">
        <is>
          <t xml:space="preserve">  🚁  HELICOPTER REIMBURSEMENTS TO COLLECT</t>
        </is>
      </c>
    </row>
    <row r="56" ht="18" customHeight="1" s="98">
      <c r="A56" s="152" t="n"/>
      <c r="B56" s="158" t="inlineStr">
        <is>
          <t>Per person share (÷ 12)</t>
        </is>
      </c>
      <c r="C56" s="159" t="inlineStr">
        <is>
          <t>$3,500 ÷ 12 people</t>
        </is>
      </c>
      <c r="D56" s="160" t="n">
        <v>292</v>
      </c>
      <c r="E56" s="160" t="n">
        <v>0</v>
      </c>
      <c r="F56" s="161" t="inlineStr">
        <is>
          <t>COLLECT</t>
        </is>
      </c>
    </row>
    <row r="57" ht="18" customHeight="1" s="98">
      <c r="A57" s="152" t="n"/>
      <c r="B57" s="158" t="inlineStr">
        <is>
          <t>3 guests owe you</t>
        </is>
      </c>
      <c r="C57" s="159" t="inlineStr">
        <is>
          <t>Venmo from 3 non-Dannheim, non-Shelden guests</t>
        </is>
      </c>
      <c r="D57" s="160" t="n">
        <v>875</v>
      </c>
      <c r="E57" s="160" t="n">
        <v>0</v>
      </c>
      <c r="F57" s="161" t="inlineStr">
        <is>
          <t>COLLECT</t>
        </is>
      </c>
    </row>
    <row r="58" ht="15.75" customHeight="1" s="98">
      <c r="A58" s="162" t="inlineStr">
        <is>
          <t xml:space="preserve">  Total to Collect</t>
        </is>
      </c>
      <c r="D58" s="163">
        <f>SUM(D56:D57)</f>
        <v/>
      </c>
      <c r="E58" s="163">
        <f>SUM(E56:E57)</f>
        <v/>
      </c>
      <c r="F58" s="152" t="n"/>
    </row>
    <row r="59" ht="7.5" customHeight="1" s="98"/>
    <row r="60" ht="15.75" customHeight="1" s="98">
      <c r="A60" s="113" t="inlineStr">
        <is>
          <t xml:space="preserve">  LEGEND</t>
        </is>
      </c>
    </row>
    <row r="61" ht="15" customHeight="1" s="98">
      <c r="A61" s="164" t="inlineStr">
        <is>
          <t xml:space="preserve">    PAID — confirmed and paid</t>
        </is>
      </c>
    </row>
    <row r="62" ht="15" customHeight="1" s="98">
      <c r="A62" s="165" t="inlineStr">
        <is>
          <t xml:space="preserve">    DUE / TO BOOK — known cost, not yet paid</t>
        </is>
      </c>
    </row>
    <row r="63" ht="15" customHeight="1" s="98">
      <c r="A63" s="166" t="inlineStr">
        <is>
          <t xml:space="preserve">    HOSTING — you are covering for the group</t>
        </is>
      </c>
    </row>
    <row r="64" ht="15" customHeight="1" s="98">
      <c r="A64" s="167" t="inlineStr">
        <is>
          <t xml:space="preserve">    ESTIMATE — approximate, update as actuals come in (blue = editable input)</t>
        </is>
      </c>
    </row>
    <row r="65" ht="15" customHeight="1" s="98">
      <c r="A65" s="168" t="inlineStr">
        <is>
          <t xml:space="preserve">    COLLECT — reimbursement incoming</t>
        </is>
      </c>
    </row>
    <row r="66" ht="15" customHeight="1" s="98">
      <c r="A66" s="169" t="inlineStr">
        <is>
          <t xml:space="preserve">    COMPED — no charge</t>
        </is>
      </c>
    </row>
  </sheetData>
  <mergeCells count="28">
    <mergeCell ref="A37:C37"/>
    <mergeCell ref="A66:F66"/>
    <mergeCell ref="A46:C46"/>
    <mergeCell ref="A50:F50"/>
    <mergeCell ref="A18:F18"/>
    <mergeCell ref="A55:F55"/>
    <mergeCell ref="A2:F2"/>
    <mergeCell ref="A42:C42"/>
    <mergeCell ref="A47:C47"/>
    <mergeCell ref="A14:F14"/>
    <mergeCell ref="A23:C23"/>
    <mergeCell ref="A8:F8"/>
    <mergeCell ref="A17:C17"/>
    <mergeCell ref="A53:C53"/>
    <mergeCell ref="A62:F62"/>
    <mergeCell ref="A38:F38"/>
    <mergeCell ref="A63:F63"/>
    <mergeCell ref="A13:C13"/>
    <mergeCell ref="A44:C44"/>
    <mergeCell ref="A58:C58"/>
    <mergeCell ref="A48:C48"/>
    <mergeCell ref="A64:F64"/>
    <mergeCell ref="A24:F24"/>
    <mergeCell ref="A60:F60"/>
    <mergeCell ref="A45:C45"/>
    <mergeCell ref="A1:F1"/>
    <mergeCell ref="A61:F61"/>
    <mergeCell ref="A65:F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zeroHeight="0" outlineLevelRow="0"/>
  <cols>
    <col width="28" customWidth="1" style="97" min="1" max="1"/>
    <col width="14" customWidth="1" style="97" min="2" max="3"/>
    <col width="16" customWidth="1" style="97" min="4" max="4"/>
    <col width="20" customWidth="1" style="97" min="5" max="5"/>
    <col width="22" customWidth="1" style="97" min="6" max="6"/>
  </cols>
  <sheetData>
    <row r="1" ht="27.75" customHeight="1" s="98">
      <c r="A1" s="170" t="inlineStr">
        <is>
          <t>CHS 5.0 — Payment Tracker</t>
        </is>
      </c>
    </row>
    <row r="2" ht="15.75" customHeight="1" s="98">
      <c r="A2" s="112" t="inlineStr">
        <is>
          <t>Item</t>
        </is>
      </c>
      <c r="B2" s="112" t="inlineStr">
        <is>
          <t>Total Cost</t>
        </is>
      </c>
      <c r="C2" s="112" t="inlineStr">
        <is>
          <t>Paid</t>
        </is>
      </c>
      <c r="D2" s="112" t="inlineStr">
        <is>
          <t>Balance Due</t>
        </is>
      </c>
      <c r="E2" s="112" t="inlineStr">
        <is>
          <t>Payment Method</t>
        </is>
      </c>
      <c r="F2" s="112" t="inlineStr">
        <is>
          <t>Notes</t>
        </is>
      </c>
    </row>
    <row r="3" ht="15.75" customHeight="1" s="98">
      <c r="A3" s="171" t="inlineStr">
        <is>
          <t>Airline — Outbound BNA→LAS</t>
        </is>
      </c>
      <c r="B3" s="172" t="n">
        <v>800</v>
      </c>
      <c r="C3" s="172" t="n">
        <v>800</v>
      </c>
      <c r="D3" s="173">
        <f>B3-C3</f>
        <v/>
      </c>
      <c r="E3" s="174" t="inlineStr">
        <is>
          <t>SW Points + Companion</t>
        </is>
      </c>
      <c r="F3" s="174" t="inlineStr">
        <is>
          <t>5 partial pts + 2 companion fares</t>
        </is>
      </c>
    </row>
    <row r="4" ht="15.75" customHeight="1" s="98">
      <c r="A4" s="175" t="inlineStr">
        <is>
          <t>Airline — Return LAS→BNA</t>
        </is>
      </c>
      <c r="B4" s="176" t="n">
        <v>650</v>
      </c>
      <c r="C4" s="176" t="n">
        <v>0</v>
      </c>
      <c r="D4" s="177">
        <f>B4-C4</f>
        <v/>
      </c>
      <c r="E4" s="178" t="inlineStr">
        <is>
          <t>Southwest Cash</t>
        </is>
      </c>
      <c r="F4" s="178" t="inlineStr">
        <is>
          <t>2 adults $325 each · kids on pts</t>
        </is>
      </c>
    </row>
    <row r="5" ht="15.75" customHeight="1" s="98">
      <c r="A5" s="171" t="inlineStr">
        <is>
          <t>Car Rental</t>
        </is>
      </c>
      <c r="B5" s="172" t="n">
        <v>800</v>
      </c>
      <c r="C5" s="172" t="n">
        <v>800</v>
      </c>
      <c r="D5" s="173">
        <f>B5-C5</f>
        <v/>
      </c>
      <c r="E5" s="174" t="inlineStr">
        <is>
          <t>Credit Card</t>
        </is>
      </c>
      <c r="F5" s="174" t="inlineStr">
        <is>
          <t>Jul 12–20</t>
        </is>
      </c>
    </row>
    <row r="6" ht="15.75" customHeight="1" s="98">
      <c r="A6" s="175" t="inlineStr">
        <is>
          <t>Clear Sky Resorts (Bryce)</t>
        </is>
      </c>
      <c r="B6" s="176" t="n">
        <v>2420</v>
      </c>
      <c r="C6" s="176" t="n">
        <v>2420</v>
      </c>
      <c r="D6" s="179">
        <f>B6-C6</f>
        <v/>
      </c>
      <c r="E6" s="178" t="inlineStr">
        <is>
          <t>AmEx</t>
        </is>
      </c>
      <c r="F6" s="178" t="inlineStr">
        <is>
          <t>2 nights · paid</t>
        </is>
      </c>
    </row>
    <row r="7" ht="15.75" customHeight="1" s="98">
      <c r="A7" s="171" t="inlineStr">
        <is>
          <t>Open Sky Resort (Zion)</t>
        </is>
      </c>
      <c r="B7" s="172" t="n">
        <v>1965</v>
      </c>
      <c r="C7" s="172" t="n">
        <v>1965</v>
      </c>
      <c r="D7" s="173">
        <f>B7-C7</f>
        <v/>
      </c>
      <c r="E7" s="174" t="inlineStr">
        <is>
          <t>AmEx</t>
        </is>
      </c>
      <c r="F7" s="174" t="inlineStr">
        <is>
          <t>3 nights · paid</t>
        </is>
      </c>
    </row>
    <row r="8" ht="15.75" customHeight="1" s="98">
      <c r="A8" s="175" t="inlineStr">
        <is>
          <t>Cosmo Suite — kids</t>
        </is>
      </c>
      <c r="B8" s="176" t="n">
        <v>2100</v>
      </c>
      <c r="C8" s="176" t="n">
        <v>650</v>
      </c>
      <c r="D8" s="177">
        <f>B8-C8</f>
        <v/>
      </c>
      <c r="E8" s="178" t="inlineStr">
        <is>
          <t>Credit Card</t>
        </is>
      </c>
      <c r="F8" s="178" t="inlineStr">
        <is>
          <t>$650 deposit · $1,450 due</t>
        </is>
      </c>
    </row>
    <row r="9" ht="15.75" customHeight="1" s="98">
      <c r="A9" s="171" t="inlineStr">
        <is>
          <t>Pool Cabana — Friday</t>
        </is>
      </c>
      <c r="B9" s="172" t="n">
        <v>650</v>
      </c>
      <c r="C9" s="172" t="n">
        <v>0</v>
      </c>
      <c r="D9" s="180">
        <f>B9-C9</f>
        <v/>
      </c>
      <c r="E9" s="174" t="inlineStr">
        <is>
          <t>Credit Card</t>
        </is>
      </c>
      <c r="F9" s="174" t="inlineStr">
        <is>
          <t>Day 6 · host cost</t>
        </is>
      </c>
    </row>
    <row r="10" ht="15.75" customHeight="1" s="98">
      <c r="A10" s="175" t="inlineStr">
        <is>
          <t>Mon Ami Gabi — 19 ppl (Day 6 host)</t>
        </is>
      </c>
      <c r="B10" s="176" t="n">
        <v>1700</v>
      </c>
      <c r="C10" s="176" t="n">
        <v>0</v>
      </c>
      <c r="D10" s="177" t="n">
        <v>1700</v>
      </c>
      <c r="E10" s="178" t="inlineStr">
        <is>
          <t>Credit Card</t>
        </is>
      </c>
      <c r="F10" s="178" t="inlineStr">
        <is>
          <t>Paris Hotel · Fri Jul 17 · 7 PM · 19 ppl · host</t>
        </is>
      </c>
    </row>
    <row r="11" ht="15.75" customHeight="1" s="98">
      <c r="A11" s="171" t="inlineStr">
        <is>
          <t>Black Sage Dinner (Zion)</t>
        </is>
      </c>
      <c r="B11" s="172" t="n">
        <v>750</v>
      </c>
      <c r="C11" s="172" t="n">
        <v>0</v>
      </c>
      <c r="D11" s="180">
        <f>B11-C11</f>
        <v/>
      </c>
      <c r="E11" s="174" t="inlineStr">
        <is>
          <t>Credit Card</t>
        </is>
      </c>
      <c r="F11" s="174" t="inlineStr">
        <is>
          <t>9 people · Day 4</t>
        </is>
      </c>
    </row>
    <row r="12" ht="15.75" customHeight="1" s="98">
      <c r="A12" s="175" t="inlineStr">
        <is>
          <t>The Sphere — 5 tickets</t>
        </is>
      </c>
      <c r="B12" s="176" t="n">
        <v>875</v>
      </c>
      <c r="C12" s="176" t="n">
        <v>0</v>
      </c>
      <c r="D12" s="177">
        <f>B12-C12</f>
        <v/>
      </c>
      <c r="E12" s="178" t="inlineStr">
        <is>
          <t>Credit Card</t>
        </is>
      </c>
      <c r="F12" s="178" t="inlineStr">
        <is>
          <t>2 adults + 3 kids @ $175</t>
        </is>
      </c>
    </row>
    <row r="13" ht="15.75" customHeight="1" s="98">
      <c r="A13" s="171" t="inlineStr">
        <is>
          <t>AREA15 — Omega Mart (optional host)</t>
        </is>
      </c>
      <c r="B13" s="172" t="n">
        <v>1100</v>
      </c>
      <c r="C13" s="172" t="n">
        <v>0</v>
      </c>
      <c r="D13" s="180" t="n">
        <v>1100</v>
      </c>
      <c r="E13" s="174" t="inlineStr">
        <is>
          <t>Credit Card</t>
        </is>
      </c>
      <c r="F13" s="174" t="inlineStr">
        <is>
          <t>~$58/pp × 19 · Venmo-optional from guests</t>
        </is>
      </c>
    </row>
    <row r="14" ht="15.75" customHeight="1" s="98">
      <c r="A14" s="175" t="inlineStr">
        <is>
          <t>Maverick Helicopter</t>
        </is>
      </c>
      <c r="B14" s="176" t="n">
        <v>3500</v>
      </c>
      <c r="C14" s="176" t="n">
        <v>3500</v>
      </c>
      <c r="D14" s="179">
        <f>B14-C14</f>
        <v/>
      </c>
      <c r="E14" s="178" t="inlineStr">
        <is>
          <t>Credit Card</t>
        </is>
      </c>
      <c r="F14" s="178" t="inlineStr">
        <is>
          <t>12 people · $875 reimbursement due</t>
        </is>
      </c>
    </row>
    <row r="15" ht="15.75" customHeight="1" s="98">
      <c r="A15" s="171" t="inlineStr">
        <is>
          <t>STRAT Tower rides</t>
        </is>
      </c>
      <c r="B15" s="172" t="n">
        <v>100</v>
      </c>
      <c r="C15" s="172" t="n">
        <v>0</v>
      </c>
      <c r="D15" s="180">
        <f>B15-C15</f>
        <v/>
      </c>
      <c r="E15" s="174" t="inlineStr">
        <is>
          <t>Cash/Card</t>
        </is>
      </c>
      <c r="F15" s="174" t="inlineStr">
        <is>
          <t>5 people · est.</t>
        </is>
      </c>
    </row>
    <row r="16" ht="15.75" customHeight="1" s="98">
      <c r="A16" s="175" t="inlineStr">
        <is>
          <t>Open Sky activities (Shelden)</t>
        </is>
      </c>
      <c r="B16" s="176" t="n">
        <v>1370.35</v>
      </c>
      <c r="C16" s="176" t="n">
        <v>0</v>
      </c>
      <c r="D16" s="177" t="n">
        <v>1370.35</v>
      </c>
      <c r="E16" s="178" t="inlineStr">
        <is>
          <t>Credit Card</t>
        </is>
      </c>
      <c r="F16" s="178" t="inlineStr">
        <is>
          <t>E-bike+canyo+Gems · Dannheims pay $1,170.49 separately</t>
        </is>
      </c>
    </row>
    <row r="17" ht="15.75" customHeight="1" s="98">
      <c r="A17" s="171" t="inlineStr">
        <is>
          <t>AREA15 — The Beast dinner (host)</t>
        </is>
      </c>
      <c r="B17" s="172" t="n">
        <v>1500</v>
      </c>
      <c r="C17" s="172" t="n">
        <v>0</v>
      </c>
      <c r="D17" s="180" t="n">
        <v>1500</v>
      </c>
      <c r="E17" s="174" t="inlineStr">
        <is>
          <t>Credit Card</t>
        </is>
      </c>
      <c r="F17" s="174" t="inlineStr">
        <is>
          <t>AREA15 · Sat Jul 18 · 7 PM · 19 ppl · host</t>
        </is>
      </c>
    </row>
    <row r="18" ht="15.75" customHeight="1" s="98">
      <c r="A18" s="175" t="inlineStr">
        <is>
          <t>The Henry brunch</t>
        </is>
      </c>
      <c r="B18" s="176" t="n">
        <v>200</v>
      </c>
      <c r="C18" s="176" t="n">
        <v>0</v>
      </c>
      <c r="D18" s="177">
        <f>B18-C18</f>
        <v/>
      </c>
      <c r="E18" s="178" t="inlineStr">
        <is>
          <t>Credit Card</t>
        </is>
      </c>
      <c r="F18" s="178" t="inlineStr">
        <is>
          <t>Shelden party · est.</t>
        </is>
      </c>
    </row>
    <row r="19" ht="15.75" customHeight="1" s="98">
      <c r="A19" s="171" t="inlineStr">
        <is>
          <t>Wicked Spoon brunch</t>
        </is>
      </c>
      <c r="B19" s="172" t="n">
        <v>200</v>
      </c>
      <c r="C19" s="172" t="n">
        <v>0</v>
      </c>
      <c r="D19" s="180">
        <f>B19-C19</f>
        <v/>
      </c>
      <c r="E19" s="174" t="inlineStr">
        <is>
          <t>Credit Card</t>
        </is>
      </c>
      <c r="F19" s="174" t="inlineStr">
        <is>
          <t>Shelden party · est.</t>
        </is>
      </c>
    </row>
    <row r="20" ht="15.75" customHeight="1" s="98">
      <c r="A20" s="175" t="inlineStr">
        <is>
          <t>Casual dinners (Bryce)</t>
        </is>
      </c>
      <c r="B20" s="176" t="n">
        <v>150</v>
      </c>
      <c r="C20" s="176" t="n">
        <v>0</v>
      </c>
      <c r="D20" s="177">
        <f>B20-C20</f>
        <v/>
      </c>
      <c r="E20" s="178" t="inlineStr">
        <is>
          <t>Cash/Card</t>
        </is>
      </c>
      <c r="F20" s="178" t="inlineStr">
        <is>
          <t>2 nights · est.</t>
        </is>
      </c>
    </row>
    <row r="21" ht="15.75" customHeight="1" s="98">
      <c r="A21" s="171" t="inlineStr">
        <is>
          <t>Casual dinners (Zion)</t>
        </is>
      </c>
      <c r="B21" s="172" t="n">
        <v>200</v>
      </c>
      <c r="C21" s="172" t="n">
        <v>0</v>
      </c>
      <c r="D21" s="180">
        <f>B21-C21</f>
        <v/>
      </c>
      <c r="E21" s="174" t="inlineStr">
        <is>
          <t>Cash/Card</t>
        </is>
      </c>
      <c r="F21" s="174" t="inlineStr">
        <is>
          <t>Days 3 &amp; 5 · est.</t>
        </is>
      </c>
    </row>
    <row r="22" ht="15.75" customHeight="1" s="98">
      <c r="A22" s="175" t="inlineStr">
        <is>
          <t>Farewell drinks + dinner</t>
        </is>
      </c>
      <c r="B22" s="176" t="n">
        <v>300</v>
      </c>
      <c r="C22" s="176" t="n">
        <v>0</v>
      </c>
      <c r="D22" s="177">
        <f>B22-C22</f>
        <v/>
      </c>
      <c r="E22" s="178" t="inlineStr">
        <is>
          <t>Cash/Card</t>
        </is>
      </c>
      <c r="F22" s="178" t="inlineStr">
        <is>
          <t>Day 8 evening · est.</t>
        </is>
      </c>
    </row>
    <row r="23" ht="15.75" customHeight="1" s="98">
      <c r="A23" s="171" t="inlineStr">
        <is>
          <t>Gas</t>
        </is>
      </c>
      <c r="B23" s="172" t="n">
        <v>150</v>
      </c>
      <c r="C23" s="172" t="n">
        <v>0</v>
      </c>
      <c r="D23" s="180">
        <f>B23-C23</f>
        <v/>
      </c>
      <c r="E23" s="174" t="inlineStr">
        <is>
          <t>Credit Card</t>
        </is>
      </c>
      <c r="F23" s="174" t="inlineStr">
        <is>
          <t>Full route · est.</t>
        </is>
      </c>
    </row>
    <row r="24" ht="15.75" customHeight="1" s="98">
      <c r="A24" s="175" t="inlineStr">
        <is>
          <t>Snacks &amp; sundries</t>
        </is>
      </c>
      <c r="B24" s="176" t="n">
        <v>400</v>
      </c>
      <c r="C24" s="176" t="n">
        <v>0</v>
      </c>
      <c r="D24" s="177">
        <f>B24-C24</f>
        <v/>
      </c>
      <c r="E24" s="178" t="inlineStr">
        <is>
          <t>Cash/Card</t>
        </is>
      </c>
      <c r="F24" s="178" t="inlineStr">
        <is>
          <t>Full trip · est.</t>
        </is>
      </c>
    </row>
    <row r="25" ht="15.75" customHeight="1" s="98">
      <c r="A25" s="171" t="inlineStr">
        <is>
          <t>Booze / pool drinks</t>
        </is>
      </c>
      <c r="B25" s="172" t="n">
        <v>200</v>
      </c>
      <c r="C25" s="172" t="n">
        <v>0</v>
      </c>
      <c r="D25" s="180">
        <f>B25-C25</f>
        <v/>
      </c>
      <c r="E25" s="174" t="inlineStr">
        <is>
          <t>Cash/Card</t>
        </is>
      </c>
      <c r="F25" s="174" t="inlineStr">
        <is>
          <t>Vegas heavy · est.</t>
        </is>
      </c>
    </row>
    <row r="26" ht="15.75" customHeight="1" s="98">
      <c r="A26" s="175" t="inlineStr">
        <is>
          <t>Tips &amp; gratuities</t>
        </is>
      </c>
      <c r="B26" s="176" t="n">
        <v>150</v>
      </c>
      <c r="C26" s="176" t="n">
        <v>0</v>
      </c>
      <c r="D26" s="177">
        <f>B26-C26</f>
        <v/>
      </c>
      <c r="E26" s="178" t="inlineStr">
        <is>
          <t>Cash</t>
        </is>
      </c>
      <c r="F26" s="178" t="inlineStr">
        <is>
          <t>Guides, servers, drivers · est.</t>
        </is>
      </c>
    </row>
    <row r="27" ht="19.5" customHeight="1" s="98">
      <c r="A27" s="181" t="inlineStr">
        <is>
          <t>TOTALS</t>
        </is>
      </c>
      <c r="B27" s="182">
        <f>SUM(B3:B26)</f>
        <v/>
      </c>
      <c r="C27" s="182">
        <f>SUM(C3:C26)</f>
        <v/>
      </c>
      <c r="D27" s="182">
        <f>SUM(D3:D26)</f>
        <v/>
      </c>
      <c r="E27" s="144" t="n"/>
      <c r="F27" s="14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zeroHeight="0" outlineLevelRow="0"/>
  <cols>
    <col width="24" customWidth="1" style="97" min="1" max="1"/>
    <col width="16" customWidth="1" style="97" min="2" max="2"/>
    <col width="14" customWidth="1" style="97" min="3" max="4"/>
    <col width="16" customWidth="1" style="97" min="5" max="5"/>
  </cols>
  <sheetData>
    <row r="1" ht="27.75" customHeight="1" s="98">
      <c r="A1" s="183" t="inlineStr">
        <is>
          <t>CHS 5.0 — Reimbursements to Collect</t>
        </is>
      </c>
    </row>
    <row r="2" ht="15.75" customHeight="1" s="98">
      <c r="A2" s="112" t="inlineStr">
        <is>
          <t>Name</t>
        </is>
      </c>
      <c r="B2" s="112" t="inlineStr">
        <is>
          <t>Item</t>
        </is>
      </c>
      <c r="C2" s="112" t="inlineStr">
        <is>
          <t>Amount Owed</t>
        </is>
      </c>
      <c r="D2" s="112" t="inlineStr">
        <is>
          <t>Received?</t>
        </is>
      </c>
      <c r="E2" s="112" t="inlineStr">
        <is>
          <t>Notes</t>
        </is>
      </c>
    </row>
    <row r="3" ht="18" customHeight="1" s="98">
      <c r="A3" s="171" t="inlineStr">
        <is>
          <t>Guest 1</t>
        </is>
      </c>
      <c r="B3" s="184" t="inlineStr">
        <is>
          <t>Maverick Helicopter (1/3 share)</t>
        </is>
      </c>
      <c r="C3" s="172" t="n">
        <v>292</v>
      </c>
      <c r="D3" s="185" t="inlineStr">
        <is>
          <t>No</t>
        </is>
      </c>
      <c r="E3" s="174" t="inlineStr">
        <is>
          <t>Venmo @</t>
        </is>
      </c>
    </row>
    <row r="4" ht="18" customHeight="1" s="98">
      <c r="A4" s="186" t="inlineStr">
        <is>
          <t>Guest 2</t>
        </is>
      </c>
      <c r="B4" s="187" t="inlineStr">
        <is>
          <t>Maverick Helicopter (1/3 share)</t>
        </is>
      </c>
      <c r="C4" s="188" t="n">
        <v>292</v>
      </c>
      <c r="D4" s="189" t="inlineStr">
        <is>
          <t>No</t>
        </is>
      </c>
      <c r="E4" s="190" t="inlineStr">
        <is>
          <t>Venmo @</t>
        </is>
      </c>
    </row>
    <row r="5" ht="18" customHeight="1" s="98">
      <c r="A5" s="171" t="inlineStr">
        <is>
          <t>Guest 3</t>
        </is>
      </c>
      <c r="B5" s="184" t="inlineStr">
        <is>
          <t>Maverick Helicopter (1/3 share)</t>
        </is>
      </c>
      <c r="C5" s="172" t="n">
        <v>292</v>
      </c>
      <c r="D5" s="185" t="inlineStr">
        <is>
          <t>No</t>
        </is>
      </c>
      <c r="E5" s="174" t="inlineStr">
        <is>
          <t>Venmo @</t>
        </is>
      </c>
    </row>
    <row r="6" ht="19.5" customHeight="1" s="98">
      <c r="A6" s="191" t="inlineStr">
        <is>
          <t>TOTAL TO COLLECT</t>
        </is>
      </c>
      <c r="B6" s="192" t="n"/>
      <c r="C6" s="193">
        <f>SUM(C3:C5)</f>
        <v/>
      </c>
      <c r="D6" s="192" t="n"/>
      <c r="E6" s="192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2026-03-25T15:27:27Z</dcterms:created>
  <dcterms:modified xmlns:dcterms="http://purl.org/dc/terms/" xmlns:xsi="http://www.w3.org/2001/XMLSchema-instance" xsi:type="dcterms:W3CDTF">2026-05-11T21:19:25Z</dcterms:modified>
  <cp:lastModifiedBy>Cynthia Shelden</cp:lastModifiedBy>
  <cp:revision>0</cp:revision>
</cp:coreProperties>
</file>